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YONS" sheetId="1" state="visible" r:id="rId1"/>
    <sheet xmlns:r="http://schemas.openxmlformats.org/officeDocument/2006/relationships" name="Formulas" sheetId="2" state="visible" r:id="rId2"/>
  </sheets>
  <definedNames>
    <definedName name="_xlnm.Print_Area" localSheetId="0">'LYONS'!$A$2:$G$16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1"/>
    </font>
    <font>
      <name val="Times New Roman"/>
      <b val="1"/>
      <sz val="10"/>
    </font>
    <font>
      <name val="Times New Roman"/>
      <b val="1"/>
      <sz val="9"/>
    </font>
    <font>
      <name val="Times New Roman"/>
      <sz val="9"/>
    </font>
    <font>
      <name val="Times New Roman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9" fontId="2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2" fontId="5" fillId="0" borderId="0" applyAlignment="1" pivotButton="0" quotePrefix="0" xfId="0">
      <alignment horizontal="right"/>
    </xf>
    <xf numFmtId="1" fontId="5" fillId="0" borderId="0" applyAlignment="1" pivotButton="0" quotePrefix="0" xfId="0">
      <alignment horizontal="right"/>
    </xf>
    <xf numFmtId="0" fontId="4" fillId="0" borderId="2" pivotButton="0" quotePrefix="0" xfId="0"/>
    <xf numFmtId="2" fontId="4" fillId="0" borderId="2" applyAlignment="1" pivotButton="0" quotePrefix="0" xfId="0">
      <alignment horizontal="right"/>
    </xf>
    <xf numFmtId="1" fontId="4" fillId="0" borderId="2" applyAlignment="1" pivotButton="0" quotePrefix="0" xfId="0">
      <alignment horizontal="right"/>
    </xf>
    <xf numFmtId="0" fontId="4" fillId="0" borderId="0" pivotButton="0" quotePrefix="0" xfId="0"/>
    <xf numFmtId="2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4" fillId="0" borderId="2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COST PER UNIT</a:t>
            </a:r>
          </a:p>
        </rich>
      </tx>
    </title>
    <plotArea>
      <pieChart>
        <varyColors val="1"/>
        <ser>
          <idx val="0"/>
          <order val="0"/>
          <tx>
            <strRef>
              <f>'LYONS'!B7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'LYONS'!$A$8:$A$12</f>
            </numRef>
          </cat>
          <val>
            <numRef>
              <f>'LYONS'!$B$8:$B$12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5" customWidth="1" min="4" max="4"/>
    <col width="14" customWidth="1" min="5" max="5"/>
    <col width="16" customWidth="1" min="6" max="6"/>
    <col width="14" customWidth="1" min="7" max="7"/>
    <col width="3" customWidth="1" min="8" max="8"/>
    <col width="14" customWidth="1" min="9" max="9"/>
  </cols>
  <sheetData>
    <row r="2">
      <c r="A2" s="1" t="inlineStr">
        <is>
          <t>LYONS INC – Orange JUICE Sales</t>
        </is>
      </c>
      <c r="I2" s="2" t="inlineStr">
        <is>
          <t>MARK UP %</t>
        </is>
      </c>
    </row>
    <row r="3">
      <c r="I3" s="3" t="n">
        <v>0.35</v>
      </c>
    </row>
    <row r="4">
      <c r="A4" s="4" t="inlineStr">
        <is>
          <t>MCA I SEMESTER – LAB I                                      CAMS-1P01</t>
        </is>
      </c>
    </row>
    <row r="7">
      <c r="A7" s="5" t="inlineStr">
        <is>
          <t>PRODUCT</t>
        </is>
      </c>
      <c r="B7" s="5" t="inlineStr">
        <is>
          <t>COST PRICE
PER LITRE</t>
        </is>
      </c>
      <c r="C7" s="5" t="inlineStr">
        <is>
          <t>MARK UP
PER ITEM 35%</t>
        </is>
      </c>
      <c r="D7" s="5" t="inlineStr">
        <is>
          <t>SELLING
PRICE</t>
        </is>
      </c>
      <c r="E7" s="5" t="inlineStr">
        <is>
          <t>LITRES
SOLD</t>
        </is>
      </c>
      <c r="F7" s="5" t="inlineStr">
        <is>
          <t>TOTAL
INCOME</t>
        </is>
      </c>
      <c r="G7" s="5" t="inlineStr">
        <is>
          <t>PROFIT</t>
        </is>
      </c>
    </row>
    <row r="8">
      <c r="A8" s="6" t="inlineStr">
        <is>
          <t>Cascade</t>
        </is>
      </c>
      <c r="B8" s="7" t="n">
        <v>3.75</v>
      </c>
      <c r="C8" s="7">
        <f>B8*$I$3</f>
        <v/>
      </c>
      <c r="D8" s="7">
        <f>B8+C8</f>
        <v/>
      </c>
      <c r="E8" s="8" t="n">
        <v>234</v>
      </c>
      <c r="F8" s="7">
        <f>E8*D8</f>
        <v/>
      </c>
      <c r="G8" s="7">
        <f>F8-(C8*E8)</f>
        <v/>
      </c>
    </row>
    <row r="9">
      <c r="A9" s="6" t="inlineStr">
        <is>
          <t>Quench</t>
        </is>
      </c>
      <c r="B9" s="7" t="n">
        <v>3.65</v>
      </c>
      <c r="C9" s="7">
        <f>B9*$I$3</f>
        <v/>
      </c>
      <c r="D9" s="7">
        <f>B9+C9</f>
        <v/>
      </c>
      <c r="E9" s="8" t="n">
        <v>345</v>
      </c>
      <c r="F9" s="7">
        <f>E9*D9</f>
        <v/>
      </c>
      <c r="G9" s="7">
        <f>F9-(C9*E9)</f>
        <v/>
      </c>
    </row>
    <row r="10">
      <c r="A10" s="6" t="inlineStr">
        <is>
          <t>Xtra</t>
        </is>
      </c>
      <c r="B10" s="7" t="n">
        <v>4.25</v>
      </c>
      <c r="C10" s="7">
        <f>B10*$I$3</f>
        <v/>
      </c>
      <c r="D10" s="7">
        <f>B10+C10</f>
        <v/>
      </c>
      <c r="E10" s="8" t="n">
        <v>456</v>
      </c>
      <c r="F10" s="7">
        <f>E10*D10</f>
        <v/>
      </c>
      <c r="G10" s="7">
        <f>F10-(C10*E10)</f>
        <v/>
      </c>
    </row>
    <row r="11">
      <c r="A11" s="6" t="inlineStr">
        <is>
          <t>Sun Splash</t>
        </is>
      </c>
      <c r="B11" s="7" t="n">
        <v>1.5</v>
      </c>
      <c r="C11" s="7">
        <f>B11*$I$3</f>
        <v/>
      </c>
      <c r="D11" s="7">
        <f>B11+C11</f>
        <v/>
      </c>
      <c r="E11" s="8" t="n">
        <v>123</v>
      </c>
      <c r="F11" s="7">
        <f>E11*D11</f>
        <v/>
      </c>
      <c r="G11" s="7">
        <f>F11-(C11*E11)</f>
        <v/>
      </c>
    </row>
    <row r="12">
      <c r="A12" s="6" t="inlineStr">
        <is>
          <t>House Brand</t>
        </is>
      </c>
      <c r="B12" s="7" t="n">
        <v>1.5</v>
      </c>
      <c r="C12" s="7">
        <f>B12*$I$3</f>
        <v/>
      </c>
      <c r="D12" s="7">
        <f>B12+C12</f>
        <v/>
      </c>
      <c r="E12" s="8" t="n">
        <v>245</v>
      </c>
      <c r="F12" s="7">
        <f>E12*D12</f>
        <v/>
      </c>
      <c r="G12" s="7">
        <f>F12-(C12*E12)</f>
        <v/>
      </c>
    </row>
    <row r="13">
      <c r="A13" s="9" t="inlineStr">
        <is>
          <t>TOTAL</t>
        </is>
      </c>
      <c r="B13" s="10" t="n"/>
      <c r="C13" s="10" t="n"/>
      <c r="D13" s="10" t="n"/>
      <c r="E13" s="11">
        <f>SUM(E8:E12)</f>
        <v/>
      </c>
      <c r="F13" s="10">
        <f>SUM(F8:F12)</f>
        <v/>
      </c>
      <c r="G13" s="10">
        <f>SUM(G8:G12)</f>
        <v/>
      </c>
    </row>
    <row r="14">
      <c r="A14" s="12" t="inlineStr">
        <is>
          <t>HIGHEST</t>
        </is>
      </c>
      <c r="B14" s="13" t="n"/>
      <c r="C14" s="13" t="n"/>
      <c r="D14" s="13" t="n"/>
      <c r="E14" s="14" t="n"/>
      <c r="F14" s="13">
        <f>MAX(F8:F12)</f>
        <v/>
      </c>
      <c r="G14" s="13">
        <f>MAX(G8:G12)</f>
        <v/>
      </c>
    </row>
    <row r="15">
      <c r="A15" s="9" t="inlineStr">
        <is>
          <t>LOWEST</t>
        </is>
      </c>
      <c r="B15" s="10" t="n"/>
      <c r="C15" s="10" t="n"/>
      <c r="D15" s="10" t="n"/>
      <c r="E15" s="15" t="n"/>
      <c r="F15" s="10">
        <f>MIN(F8:F12)</f>
        <v/>
      </c>
      <c r="G15" s="10">
        <f>MIN(G8:G12)</f>
        <v/>
      </c>
    </row>
    <row r="16">
      <c r="A16" s="12" t="n"/>
      <c r="B16" s="13" t="n"/>
      <c r="C16" s="13" t="n"/>
      <c r="D16" s="13" t="n"/>
      <c r="E16" s="14" t="inlineStr">
        <is>
          <t>AVERAGE PROFIT</t>
        </is>
      </c>
      <c r="F16" s="13">
        <f>AVERAGE(G8:G12)</f>
        <v/>
      </c>
      <c r="G16" s="13" t="n"/>
    </row>
  </sheetData>
  <mergeCells count="2">
    <mergeCell ref="A2:G2"/>
    <mergeCell ref="A4:G4"/>
  </mergeCells>
  <pageMargins left="0.3" right="0.3" top="0.45" bottom="0.45" header="0.2" footer="0.2"/>
  <pageSetup orientation="landscape" paperSize="9" fitToHeight="1" fitToWidth="1"/>
  <headerFooter>
    <oddHeader/>
    <oddFooter>&amp;C&amp;8 Name: ____________________   Subject: Computer Applications   Course: CAMS-1P01   Exam/Test: Practical   Q.No.: 4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FORMULAS USED</t>
        </is>
      </c>
    </row>
    <row r="2">
      <c r="A2" s="2" t="inlineStr">
        <is>
          <t>Markup %</t>
        </is>
      </c>
      <c r="B2" s="16" t="inlineStr">
        <is>
          <t>35% entered in LYONS!I3</t>
        </is>
      </c>
    </row>
    <row r="3">
      <c r="A3" s="2" t="inlineStr">
        <is>
          <t>Markup per item</t>
        </is>
      </c>
      <c r="B3" s="16">
        <f>B8*$I$3</f>
        <v/>
      </c>
    </row>
    <row r="4">
      <c r="A4" s="2" t="inlineStr">
        <is>
          <t>Selling price</t>
        </is>
      </c>
      <c r="B4" s="16">
        <f>B8+C8</f>
        <v/>
      </c>
    </row>
    <row r="5">
      <c r="A5" s="2" t="inlineStr">
        <is>
          <t>Total income</t>
        </is>
      </c>
      <c r="B5" s="16">
        <f>E8*D8</f>
        <v/>
      </c>
    </row>
    <row r="6">
      <c r="A6" s="2" t="inlineStr">
        <is>
          <t>Profit</t>
        </is>
      </c>
      <c r="B6" s="16">
        <f>F8-(C8*E8)</f>
        <v/>
      </c>
    </row>
    <row r="7">
      <c r="A7" s="2" t="inlineStr">
        <is>
          <t>Total litres</t>
        </is>
      </c>
      <c r="B7" s="16">
        <f>SUM(E8:E12)</f>
        <v/>
      </c>
    </row>
    <row r="8">
      <c r="A8" s="2" t="inlineStr">
        <is>
          <t>Highest total income</t>
        </is>
      </c>
      <c r="B8" s="16">
        <f>MAX(F8:F12)</f>
        <v/>
      </c>
    </row>
    <row r="9">
      <c r="A9" s="2" t="inlineStr">
        <is>
          <t>Lowest total income</t>
        </is>
      </c>
      <c r="B9" s="16">
        <f>MIN(F8:F12)</f>
        <v/>
      </c>
    </row>
    <row r="10">
      <c r="A10" s="2" t="inlineStr">
        <is>
          <t>Average profit</t>
        </is>
      </c>
      <c r="B10" s="16">
        <f>AVERAGE(G8:G12)</f>
        <v/>
      </c>
    </row>
    <row r="11">
      <c r="A11" s="2" t="inlineStr">
        <is>
          <t>Highest profit</t>
        </is>
      </c>
      <c r="B11" s="16">
        <f>MAX(G8:G12)</f>
        <v/>
      </c>
    </row>
    <row r="12">
      <c r="A12" s="2" t="inlineStr">
        <is>
          <t>Lowest profit</t>
        </is>
      </c>
      <c r="B12" s="16">
        <f>MIN(G8:G12)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2026-08-11T18:35:10Z</dcterms:created>
  <dcterms:modified xmlns:dcterms="http://purl.org/dc/terms/" xmlns:xsi="http://www.w3.org/2001/XMLSchema-instance" xsi:type="dcterms:W3CDTF">2026-08-11T18:35:10Z</dcterms:modified>
</cp:coreProperties>
</file>