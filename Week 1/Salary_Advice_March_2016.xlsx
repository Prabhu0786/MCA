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E:\MCA'\Week 1\"/>
    </mc:Choice>
  </mc:AlternateContent>
  <xr:revisionPtr revIDLastSave="0" documentId="13_ncr:1_{7AFDB666-1EE4-416A-AECB-F17705D5CBC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lary Advice" sheetId="1" r:id="rId1"/>
  </sheets>
  <definedNames>
    <definedName name="_xlnm.Print_Area" localSheetId="0">'Salary Advice'!$B$2:$F$19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1" i="1" l="1"/>
  <c r="C15" i="1" s="1"/>
  <c r="F16" i="1" s="1"/>
  <c r="C13" i="1"/>
  <c r="C12" i="1"/>
  <c r="F14" i="1"/>
  <c r="C14" i="1"/>
  <c r="F12" i="1"/>
  <c r="F11" i="1"/>
  <c r="F15" i="1" s="1"/>
  <c r="F13" i="1"/>
</calcChain>
</file>

<file path=xl/sharedStrings.xml><?xml version="1.0" encoding="utf-8"?>
<sst xmlns="http://schemas.openxmlformats.org/spreadsheetml/2006/main" count="26" uniqueCount="25">
  <si>
    <t>SALARY ADVICE FOR MARCH 2016</t>
  </si>
  <si>
    <t>MCA I SEMESTER – LAB I                                      CAMS-1P01</t>
  </si>
  <si>
    <t>EMPLOYEE</t>
  </si>
  <si>
    <t>T MARONGO</t>
  </si>
  <si>
    <t>STAFF NO</t>
  </si>
  <si>
    <t>004</t>
  </si>
  <si>
    <t>DATE</t>
  </si>
  <si>
    <t>31 MARCH 2016</t>
  </si>
  <si>
    <t>NEXT PAY DATE</t>
  </si>
  <si>
    <t>30 APRIL 2016</t>
  </si>
  <si>
    <t>BASIC SALARY p.a.</t>
  </si>
  <si>
    <t>INCOME</t>
  </si>
  <si>
    <t>AMOUNT</t>
  </si>
  <si>
    <t>DEDUCTIONS</t>
  </si>
  <si>
    <t>Basic Salary</t>
  </si>
  <si>
    <t>Pension @8%</t>
  </si>
  <si>
    <t>Housing Subsidy</t>
  </si>
  <si>
    <t>P.A.Y.E.</t>
  </si>
  <si>
    <t>Vehicle Allowance</t>
  </si>
  <si>
    <t>U.I.F.</t>
  </si>
  <si>
    <t>Medical Aid</t>
  </si>
  <si>
    <t>Bond Repayment</t>
  </si>
  <si>
    <t>Gross Income</t>
  </si>
  <si>
    <t>Total Deductions</t>
  </si>
  <si>
    <t>Net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</si>
</sst>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6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b/>
      <sz val="11"/>
      <name val="Times New Roman"/>
    </font>
    <font>
      <b/>
      <sz val="10"/>
      <name val="Times New Roman"/>
    </font>
    <font>
      <sz val="10"/>
      <name val="Times New Roman"/>
    </font>
    <font>
      <i/>
      <sz val="9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EAF3F0"/>
      </patternFill>
    </fill>
  </fills>
  <borders count="4"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0" xfId="0" applyFont="1" applyFill="1"/>
    <xf numFmtId="0" fontId="4" fillId="2" borderId="0" xfId="0" applyFont="1" applyFill="1"/>
    <xf numFmtId="164" fontId="4" fillId="2" borderId="0" xfId="0" applyNumberFormat="1" applyFont="1" applyFill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164" fontId="4" fillId="2" borderId="0" xfId="0" applyNumberFormat="1" applyFont="1" applyFill="1" applyAlignment="1">
      <alignment horizontal="right"/>
    </xf>
    <xf numFmtId="0" fontId="4" fillId="2" borderId="3" xfId="0" applyFont="1" applyFill="1" applyBorder="1"/>
    <xf numFmtId="164" fontId="4" fillId="2" borderId="3" xfId="0" applyNumberFormat="1" applyFont="1" applyFill="1" applyBorder="1" applyAlignment="1">
      <alignment horizontal="right"/>
    </xf>
    <xf numFmtId="0" fontId="4" fillId="2" borderId="2" xfId="0" applyFont="1" applyFill="1" applyBorder="1"/>
    <xf numFmtId="0" fontId="4" fillId="2" borderId="2" xfId="0" applyFont="1" applyFill="1" applyBorder="1" applyAlignment="1">
      <alignment horizontal="right"/>
    </xf>
    <xf numFmtId="164" fontId="4" fillId="2" borderId="2" xfId="0" applyNumberFormat="1" applyFont="1" applyFill="1" applyBorder="1" applyAlignment="1">
      <alignment horizontal="right"/>
    </xf>
    <xf numFmtId="0" fontId="1" fillId="0" borderId="0" xfId="0" applyFont="1"/>
    <xf numFmtId="0" fontId="0" fillId="0" borderId="0" xfId="0"/>
    <xf numFmtId="0" fontId="2" fillId="0" borderId="0" xfId="0" applyFont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F19"/>
  <sheetViews>
    <sheetView tabSelected="1" showWhiteSpace="0" zoomScaleNormal="100" workbookViewId="0">
      <selection activeCell="I12" sqref="I12"/>
    </sheetView>
  </sheetViews>
  <sheetFormatPr defaultRowHeight="15" x14ac:dyDescent="0.25"/>
  <cols>
    <col min="1" max="1" width="3" customWidth="1"/>
    <col min="2" max="2" width="25" customWidth="1"/>
    <col min="3" max="3" width="17" customWidth="1"/>
    <col min="4" max="4" width="5" customWidth="1"/>
    <col min="5" max="5" width="25" customWidth="1"/>
    <col min="6" max="6" width="17" customWidth="1"/>
  </cols>
  <sheetData>
    <row r="2" spans="2:6" ht="18.75" x14ac:dyDescent="0.3">
      <c r="B2" s="12" t="s">
        <v>0</v>
      </c>
      <c r="C2" s="13"/>
      <c r="D2" s="13"/>
      <c r="E2" s="13"/>
      <c r="F2" s="13"/>
    </row>
    <row r="4" spans="2:6" x14ac:dyDescent="0.25">
      <c r="B4" s="14" t="s">
        <v>1</v>
      </c>
      <c r="C4" s="13"/>
      <c r="D4" s="13"/>
      <c r="E4" s="13"/>
      <c r="F4" s="13"/>
    </row>
    <row r="6" spans="2:6" x14ac:dyDescent="0.25">
      <c r="B6" s="1" t="s">
        <v>2</v>
      </c>
      <c r="C6" s="2" t="s">
        <v>3</v>
      </c>
      <c r="D6" s="2"/>
      <c r="E6" s="1" t="s">
        <v>4</v>
      </c>
      <c r="F6" s="2" t="s">
        <v>5</v>
      </c>
    </row>
    <row r="7" spans="2:6" x14ac:dyDescent="0.25">
      <c r="B7" s="1" t="s">
        <v>6</v>
      </c>
      <c r="C7" s="2" t="s">
        <v>7</v>
      </c>
      <c r="D7" s="2"/>
      <c r="E7" s="1" t="s">
        <v>8</v>
      </c>
      <c r="F7" s="2" t="s">
        <v>9</v>
      </c>
    </row>
    <row r="8" spans="2:6" x14ac:dyDescent="0.25">
      <c r="B8" s="1" t="s">
        <v>10</v>
      </c>
      <c r="C8" s="3">
        <v>31200</v>
      </c>
      <c r="D8" s="2"/>
      <c r="E8" s="2"/>
      <c r="F8" s="2"/>
    </row>
    <row r="9" spans="2:6" x14ac:dyDescent="0.25">
      <c r="B9" s="2"/>
      <c r="C9" s="2"/>
      <c r="D9" s="2"/>
      <c r="E9" s="2"/>
      <c r="F9" s="2"/>
    </row>
    <row r="10" spans="2:6" x14ac:dyDescent="0.25">
      <c r="B10" s="4" t="s">
        <v>11</v>
      </c>
      <c r="C10" s="4" t="s">
        <v>12</v>
      </c>
      <c r="D10" s="5"/>
      <c r="E10" s="4" t="s">
        <v>13</v>
      </c>
      <c r="F10" s="4" t="s">
        <v>12</v>
      </c>
    </row>
    <row r="11" spans="2:6" x14ac:dyDescent="0.25">
      <c r="B11" s="2" t="s">
        <v>14</v>
      </c>
      <c r="C11" s="6">
        <f>C8/12</f>
        <v>2600</v>
      </c>
      <c r="D11" s="2"/>
      <c r="E11" s="2" t="s">
        <v>15</v>
      </c>
      <c r="F11" s="6">
        <f>C11*8%</f>
        <v>208</v>
      </c>
    </row>
    <row r="12" spans="2:6" x14ac:dyDescent="0.25">
      <c r="B12" s="2" t="s">
        <v>16</v>
      </c>
      <c r="C12" s="6">
        <f>6000/12</f>
        <v>500</v>
      </c>
      <c r="D12" s="2"/>
      <c r="E12" s="2" t="s">
        <v>17</v>
      </c>
      <c r="F12" s="6">
        <f>636.83</f>
        <v>636.83000000000004</v>
      </c>
    </row>
    <row r="13" spans="2:6" x14ac:dyDescent="0.25">
      <c r="B13" s="2" t="s">
        <v>18</v>
      </c>
      <c r="C13" s="6">
        <f>100</f>
        <v>100</v>
      </c>
      <c r="D13" s="2"/>
      <c r="E13" s="2" t="s">
        <v>19</v>
      </c>
      <c r="F13" s="6">
        <f>1%*(C11+C12)</f>
        <v>31</v>
      </c>
    </row>
    <row r="14" spans="2:6" x14ac:dyDescent="0.25">
      <c r="B14" s="2" t="s">
        <v>20</v>
      </c>
      <c r="C14" s="6">
        <f>70</f>
        <v>70</v>
      </c>
      <c r="D14" s="2"/>
      <c r="E14" s="2" t="s">
        <v>21</v>
      </c>
      <c r="F14" s="6">
        <f>630</f>
        <v>630</v>
      </c>
    </row>
    <row r="15" spans="2:6" x14ac:dyDescent="0.25">
      <c r="B15" s="7" t="s">
        <v>22</v>
      </c>
      <c r="C15" s="8">
        <f>SUM(C11:C14)</f>
        <v>3270</v>
      </c>
      <c r="D15" s="2"/>
      <c r="E15" s="7" t="s">
        <v>23</v>
      </c>
      <c r="F15" s="8">
        <f>SUM(F11:F14)</f>
        <v>1505.83</v>
      </c>
    </row>
    <row r="16" spans="2:6" x14ac:dyDescent="0.25">
      <c r="B16" s="9"/>
      <c r="C16" s="10"/>
      <c r="D16" s="9"/>
      <c r="E16" s="9" t="s">
        <v>24</v>
      </c>
      <c r="F16" s="11">
        <f>C15-F15</f>
        <v>1764.17</v>
      </c>
    </row>
    <row r="19" spans="2:6" x14ac:dyDescent="0.25">
      <c r="B19" s="15"/>
      <c r="C19" s="13"/>
      <c r="D19" s="13"/>
      <c r="E19" s="13"/>
      <c r="F19" s="13"/>
    </row>
  </sheetData>
  <mergeCells count="3">
    <mergeCell ref="B2:F2"/>
    <mergeCell ref="B4:F4"/>
    <mergeCell ref="B19:F19"/>
  </mergeCells>
  <pageMargins left="0.35" right="0.35" top="0.45" bottom="0.45" header="0.2" footer="0.2"/>
  <pageSetup paperSize="9" orientation="portrait" r:id="rId1"/>
  <headerFooter>
    <oddFooter>&amp;C&amp;"Times New Roman,Regular"&amp;8 Name:Prabhu Narayan Gupta  Subject: Computer Applications   Course: CAMS-1P01   Exam/Test: Practical   Q.No.: 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Salary Advice</vt:lpstr>
      <vt:lpstr>'Salary Advice'!Print_Area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CSD</cp:lastModifiedBy>
  <dcterms:created xsi:type="dcterms:W3CDTF">2026-08-11T15:58:23Z</dcterms:created>
  <dcterms:modified xsi:type="dcterms:W3CDTF">2026-08-12T07:02:52Z</dcterms:modified>
</cp:coreProperties>
</file>